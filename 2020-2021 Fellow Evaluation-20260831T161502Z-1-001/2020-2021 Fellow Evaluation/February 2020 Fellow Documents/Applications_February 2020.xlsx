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019" sheetId="1" r:id="rId4"/>
  </sheets>
  <definedNames/>
  <calcPr/>
</workbook>
</file>

<file path=xl/sharedStrings.xml><?xml version="1.0" encoding="utf-8"?>
<sst xmlns="http://schemas.openxmlformats.org/spreadsheetml/2006/main" count="110" uniqueCount="77">
  <si>
    <t>Quality of Prelim App Answers</t>
  </si>
  <si>
    <t>Science Quality from CV</t>
  </si>
  <si>
    <t>Evidence of Science Communication from CV</t>
  </si>
  <si>
    <t>Likely Ability to Function Well in Science-Corps Environment</t>
  </si>
  <si>
    <t>Additional Notes</t>
  </si>
  <si>
    <t>#</t>
  </si>
  <si>
    <t>Name</t>
  </si>
  <si>
    <t>Pre-screen ER</t>
  </si>
  <si>
    <t>Average Score</t>
  </si>
  <si>
    <t>Notes</t>
  </si>
  <si>
    <t>Follow Up Action (Date Taken)</t>
  </si>
  <si>
    <t>Date of Birth</t>
  </si>
  <si>
    <t>Sex</t>
  </si>
  <si>
    <t>Date of PhD</t>
  </si>
  <si>
    <t>PhD Granting Institution</t>
  </si>
  <si>
    <t>Current Position</t>
  </si>
  <si>
    <t>Field of Study</t>
  </si>
  <si>
    <t>Source of Interest</t>
  </si>
  <si>
    <t>CV</t>
  </si>
  <si>
    <t>Answers To Prelim-Application</t>
  </si>
  <si>
    <t>BR</t>
  </si>
  <si>
    <t>ER</t>
  </si>
  <si>
    <t>SH</t>
  </si>
  <si>
    <t>EB</t>
  </si>
  <si>
    <t>Ester Polaina Lacambra</t>
  </si>
  <si>
    <t>Send Rejection; sent 3/12/20</t>
  </si>
  <si>
    <t>F</t>
  </si>
  <si>
    <t>University Pablo de Olavide, Spain</t>
  </si>
  <si>
    <t>postdoctoral researcher, Swedish University of Agricultural Sciences</t>
  </si>
  <si>
    <t>environmental studies</t>
  </si>
  <si>
    <t>friend or colleague</t>
  </si>
  <si>
    <t>English ability?, ability to live abroad</t>
  </si>
  <si>
    <t>LOts of pubs in weird journals.  If she did not say that she wanted to work at a high school I would be more positive</t>
  </si>
  <si>
    <t>Wants to be a K12 teacher</t>
  </si>
  <si>
    <t>Lasisi Salami Lawal</t>
  </si>
  <si>
    <t>M</t>
  </si>
  <si>
    <t>University of Sussex, Brighton, United Kingdom</t>
  </si>
  <si>
    <t>research fellow</t>
  </si>
  <si>
    <t>satellite engineering and communications technology</t>
  </si>
  <si>
    <t>other, grants from academia.edu</t>
  </si>
  <si>
    <t>doesn't fit 4 year rule and not good enough to consider</t>
  </si>
  <si>
    <t>Applicant not appropriate for Science Corps</t>
  </si>
  <si>
    <t>Applicant seems out of place, appears to already have a professional career and this would be a step back</t>
  </si>
  <si>
    <t>Erica Gorenberg</t>
  </si>
  <si>
    <t>Interviewed by ER &amp; S</t>
  </si>
  <si>
    <t>Yale University</t>
  </si>
  <si>
    <t>PhD candidate</t>
  </si>
  <si>
    <t>neuroscience</t>
  </si>
  <si>
    <t>institutional newsletter</t>
  </si>
  <si>
    <t>?</t>
  </si>
  <si>
    <t>No evidence as to ability to suceed in difficult environments</t>
  </si>
  <si>
    <t>did skyp interview 2.26.  Articulate presented her science well. Working at an  elite Yale lab.  Has paper under reviewAppears have thought about preparing herself for teaching at a small low resource institution.  Mother is a professional clown. When I asked her about adversity she interesting response.  I was impressed that she has applied for several post doc position with the thought  of what would position her to get a small liberal arts college job.  moving from mouse to cheaper model organism.  Has taught a bunch but has not spent time in the developing world</t>
  </si>
  <si>
    <t>Did a skype interview on 2/28/20.  Well spoken, wants to move into a liberal arts school Asst Prof position.  Did not have much international science outreach, just spent time traveling internationally for conferences.  Good teaching experience.  Seems like a average candidate but is not perfect for SC.</t>
  </si>
  <si>
    <t>Richard Gudaj</t>
  </si>
  <si>
    <t>Desired date: ASAP; desired location: India</t>
  </si>
  <si>
    <t>Nanjing Agricultural University, China; University of Debrecen, Hungary</t>
  </si>
  <si>
    <t>agriculture, animal science, animal biology</t>
  </si>
  <si>
    <t>other, google</t>
  </si>
  <si>
    <t>Not appropriate candidate</t>
  </si>
  <si>
    <t>Patti Murphy</t>
  </si>
  <si>
    <t>Ask about papers and ask about ability to suceed abroad</t>
  </si>
  <si>
    <t>ER &amp; BR</t>
  </si>
  <si>
    <t>University of Pennsylvania</t>
  </si>
  <si>
    <t>neuroscience, biology</t>
  </si>
  <si>
    <t>institutional email</t>
  </si>
  <si>
    <t>lack of first author publications, no evidence of ability to suceed abroad</t>
  </si>
  <si>
    <t>Fits the profile of what we want.  Only weakess is lack of pubs and international  experience</t>
  </si>
  <si>
    <t>Heavy on the teaching and outreach, seems low on science, not much international travel</t>
  </si>
  <si>
    <t>Jennifer Bratburd</t>
  </si>
  <si>
    <t>Send Rejection</t>
  </si>
  <si>
    <t>University of Wisconsin, Madison</t>
  </si>
  <si>
    <t>microbiology, microbial sciences</t>
  </si>
  <si>
    <t>Twitter</t>
  </si>
  <si>
    <t xml:space="preserve">Fits the profile of what we want.  SSome international experience.  wants to do Science policy </t>
  </si>
  <si>
    <t>Rosa Leon</t>
  </si>
  <si>
    <t>Fits profile wants to do science education/policy</t>
  </si>
  <si>
    <t>wants to go into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</si>
</sst>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mm yyyy"/>
    <numFmt numFmtId="166" formatCode="mm/dd/yyyy"/>
  </numFmts>
  <fonts count="5">
    <font>
      <sz val="10.0"/>
      <color rgb="FF000000"/>
      <name val="Arial"/>
    </font>
    <font>
      <b/>
      <sz val="10.0"/>
      <color rgb="FF000000"/>
      <name val="Arial"/>
    </font>
    <font/>
    <font>
      <u/>
      <sz val="10.0"/>
      <color rgb="FF000000"/>
      <name val="Arial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6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vertical="bottom"/>
    </xf>
    <xf borderId="1" fillId="2" fontId="0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4" fillId="2" fontId="0" numFmtId="0" xfId="0" applyAlignment="1" applyBorder="1" applyFill="1" applyFont="1">
      <alignment vertical="bottom"/>
    </xf>
    <xf borderId="4" fillId="2" fontId="0" numFmtId="0" xfId="0" applyAlignment="1" applyBorder="1" applyFill="1" applyFont="1">
      <alignment readingOrder="0" vertical="bottom"/>
    </xf>
    <xf borderId="0" fillId="2" fontId="0" numFmtId="0" xfId="0" applyAlignment="1" applyFill="1" applyFont="1">
      <alignment readingOrder="0" vertical="bottom"/>
    </xf>
    <xf borderId="0" fillId="0" fontId="0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0" numFmtId="0" xfId="0" applyFont="1"/>
    <xf borderId="0" fillId="0" fontId="0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/>
    </xf>
    <xf borderId="0" fillId="4" fontId="0" numFmtId="0" xfId="0" applyAlignment="1" applyFill="1" applyFont="1">
      <alignment readingOrder="0"/>
    </xf>
    <xf borderId="0" fillId="4" fontId="0" numFmtId="0" xfId="0" applyFill="1" applyFont="1"/>
    <xf borderId="0" fillId="4" fontId="0" numFmtId="165" xfId="0" applyAlignment="1" applyFill="1" applyFont="1" applyNumberFormat="1">
      <alignment readingOrder="0"/>
    </xf>
    <xf borderId="0" fillId="4" fontId="4" numFmtId="0" xfId="0" applyAlignment="1" applyFill="1" applyFont="1">
      <alignment readingOrder="0"/>
    </xf>
    <xf borderId="5" fillId="0" fontId="1" numFmtId="0" xfId="0" applyAlignment="1" applyBorder="1" applyFont="1">
      <alignment readingOrder="0" vertical="bottom"/>
    </xf>
    <xf borderId="0" fillId="4" fontId="0" numFmtId="164" xfId="0" applyAlignment="1" applyFill="1" applyFont="1" applyNumberFormat="1">
      <alignment readingOrder="0"/>
    </xf>
    <xf borderId="0" fillId="0" fontId="0" numFmtId="0" xfId="0" applyAlignment="1" applyFont="1">
      <alignment readingOrder="0"/>
    </xf>
    <xf borderId="0" fillId="0" fontId="0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88"/>
    <col customWidth="1" min="2" max="2" width="18.38"/>
    <col customWidth="1" min="3" max="3" width="22.75"/>
    <col customWidth="1" min="5" max="5" width="10.88"/>
    <col customWidth="1" min="6" max="6" width="24.38"/>
    <col customWidth="1" min="7" max="7" width="10.88"/>
    <col customWidth="1" min="8" max="8" width="3.88"/>
    <col customWidth="1" min="9" max="9" width="13.0"/>
    <col customWidth="1" min="10" max="10" width="26.0"/>
    <col customWidth="1" min="11" max="11" width="50.0"/>
    <col customWidth="1" min="12" max="12" width="16.75"/>
    <col customWidth="1" min="13" max="13" width="14.88"/>
    <col customWidth="1" min="14" max="14" width="3.25"/>
    <col customWidth="1" min="15" max="15" width="9.88"/>
    <col customWidth="1" min="16" max="16" width="8.0"/>
    <col customWidth="1" min="17" max="17" width="6.0"/>
    <col customWidth="1" min="32" max="32" width="14.0"/>
    <col customWidth="1" min="33" max="33" width="35.38"/>
    <col customWidth="1" min="34" max="34" width="3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 t="s">
        <v>0</v>
      </c>
      <c r="Q1" s="4"/>
      <c r="R1" s="4"/>
      <c r="S1" s="5"/>
      <c r="T1" s="3" t="s">
        <v>1</v>
      </c>
      <c r="U1" s="4"/>
      <c r="V1" s="4"/>
      <c r="W1" s="5"/>
      <c r="X1" s="3" t="s">
        <v>2</v>
      </c>
      <c r="Y1" s="4"/>
      <c r="Z1" s="4"/>
      <c r="AA1" s="5"/>
      <c r="AB1" s="3" t="s">
        <v>3</v>
      </c>
      <c r="AC1" s="4"/>
      <c r="AD1" s="4"/>
      <c r="AE1" s="5"/>
      <c r="AF1" s="3" t="s">
        <v>4</v>
      </c>
      <c r="AG1" s="4"/>
      <c r="AH1" s="5"/>
      <c r="AI1" s="6"/>
    </row>
    <row r="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7" t="s">
        <v>17</v>
      </c>
      <c r="N2" s="6" t="s">
        <v>18</v>
      </c>
      <c r="O2" s="8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20</v>
      </c>
      <c r="Y2" s="9" t="s">
        <v>21</v>
      </c>
      <c r="Z2" s="9" t="s">
        <v>22</v>
      </c>
      <c r="AA2" s="9" t="s">
        <v>23</v>
      </c>
      <c r="AB2" s="9" t="s">
        <v>20</v>
      </c>
      <c r="AC2" s="9" t="s">
        <v>21</v>
      </c>
      <c r="AD2" s="9" t="s">
        <v>22</v>
      </c>
      <c r="AE2" s="9" t="s">
        <v>23</v>
      </c>
      <c r="AF2" s="9" t="s">
        <v>20</v>
      </c>
      <c r="AG2" s="10" t="s">
        <v>21</v>
      </c>
      <c r="AH2" s="10" t="s">
        <v>22</v>
      </c>
      <c r="AI2" s="11" t="s">
        <v>23</v>
      </c>
    </row>
    <row r="3">
      <c r="A3" s="12">
        <v>1.0</v>
      </c>
      <c r="B3" s="13" t="s">
        <v>24</v>
      </c>
      <c r="C3" s="12"/>
      <c r="D3" s="14"/>
      <c r="E3" s="14"/>
      <c r="F3" s="12" t="s">
        <v>25</v>
      </c>
      <c r="G3" s="15">
        <v>31663.0</v>
      </c>
      <c r="H3" s="12" t="s">
        <v>26</v>
      </c>
      <c r="I3" s="16">
        <v>42552.0</v>
      </c>
      <c r="J3" s="12" t="s">
        <v>27</v>
      </c>
      <c r="K3" s="12" t="s">
        <v>28</v>
      </c>
      <c r="L3" s="12" t="s">
        <v>29</v>
      </c>
      <c r="M3" s="12" t="s">
        <v>30</v>
      </c>
      <c r="N3" s="17" t="str">
        <f>HYPERLINK("https://drive.google.com/open?id=1kjKQvHSdy2ts-d9hBOx_Nl6gVa0Q8kS3","cv")</f>
        <v>cv</v>
      </c>
      <c r="O3" s="17" t="str">
        <f>HYPERLINK("https://drive.google.com/open?id=1clHB1xhzEcYoyS0tU4LSyLRRhu1aEXD5","application")</f>
        <v>application</v>
      </c>
      <c r="P3" s="12">
        <v>3.0</v>
      </c>
      <c r="Q3" s="12">
        <v>4.0</v>
      </c>
      <c r="R3" s="12">
        <v>4.0</v>
      </c>
      <c r="S3" s="14"/>
      <c r="T3" s="12">
        <v>4.0</v>
      </c>
      <c r="U3" s="12">
        <v>4.0</v>
      </c>
      <c r="V3" s="12">
        <v>4.0</v>
      </c>
      <c r="W3" s="14"/>
      <c r="X3" s="12">
        <v>4.0</v>
      </c>
      <c r="Y3" s="12">
        <v>4.0</v>
      </c>
      <c r="Z3" s="12">
        <v>4.0</v>
      </c>
      <c r="AA3" s="14"/>
      <c r="AB3" s="12">
        <v>2.0</v>
      </c>
      <c r="AC3" s="12">
        <v>4.0</v>
      </c>
      <c r="AD3" s="12">
        <v>5.0</v>
      </c>
      <c r="AE3" s="14"/>
      <c r="AF3" s="12" t="s">
        <v>31</v>
      </c>
      <c r="AG3" s="12" t="s">
        <v>32</v>
      </c>
      <c r="AH3" s="12" t="s">
        <v>33</v>
      </c>
      <c r="AI3" s="14"/>
    </row>
    <row r="4">
      <c r="A4" s="12">
        <v>2.0</v>
      </c>
      <c r="B4" s="13" t="s">
        <v>34</v>
      </c>
      <c r="C4" s="12"/>
      <c r="D4" s="14"/>
      <c r="E4" s="14"/>
      <c r="F4" s="12" t="s">
        <v>25</v>
      </c>
      <c r="G4" s="15">
        <v>27698.0</v>
      </c>
      <c r="H4" s="12" t="s">
        <v>35</v>
      </c>
      <c r="I4" s="12">
        <v>2014.0</v>
      </c>
      <c r="J4" s="12" t="s">
        <v>36</v>
      </c>
      <c r="K4" s="12" t="s">
        <v>37</v>
      </c>
      <c r="L4" s="12" t="s">
        <v>38</v>
      </c>
      <c r="M4" s="12" t="s">
        <v>39</v>
      </c>
      <c r="N4" s="18"/>
      <c r="O4" s="17" t="str">
        <f>HYPERLINK("https://drive.google.com/open?id=1tm2BL-o2GzkOiac3FT31j7Mah_Tq-5ZJ","application")</f>
        <v>application</v>
      </c>
      <c r="P4" s="12">
        <v>1.0</v>
      </c>
      <c r="Q4" s="12">
        <v>1.0</v>
      </c>
      <c r="R4" s="12">
        <v>2.0</v>
      </c>
      <c r="S4" s="14"/>
      <c r="T4" s="12">
        <v>2.5</v>
      </c>
      <c r="U4" s="12">
        <v>3.0</v>
      </c>
      <c r="V4" s="12">
        <v>4.0</v>
      </c>
      <c r="W4" s="14"/>
      <c r="X4" s="12">
        <v>4.0</v>
      </c>
      <c r="Y4" s="12">
        <v>4.0</v>
      </c>
      <c r="Z4" s="12">
        <v>5.0</v>
      </c>
      <c r="AA4" s="14"/>
      <c r="AB4" s="12">
        <v>4.0</v>
      </c>
      <c r="AC4" s="12">
        <v>4.0</v>
      </c>
      <c r="AD4" s="12">
        <v>5.0</v>
      </c>
      <c r="AE4" s="14"/>
      <c r="AF4" s="12" t="s">
        <v>40</v>
      </c>
      <c r="AG4" s="12" t="s">
        <v>41</v>
      </c>
      <c r="AH4" s="12" t="s">
        <v>42</v>
      </c>
      <c r="AI4" s="14"/>
    </row>
    <row r="5">
      <c r="A5" s="19">
        <v>3.0</v>
      </c>
      <c r="B5" s="19" t="s">
        <v>43</v>
      </c>
      <c r="C5" s="19"/>
      <c r="D5" s="20"/>
      <c r="E5" s="20"/>
      <c r="F5" s="19" t="s">
        <v>44</v>
      </c>
      <c r="G5" s="20"/>
      <c r="H5" s="19" t="s">
        <v>26</v>
      </c>
      <c r="I5" s="21">
        <v>43952.0</v>
      </c>
      <c r="J5" s="19" t="s">
        <v>45</v>
      </c>
      <c r="K5" s="19" t="s">
        <v>46</v>
      </c>
      <c r="L5" s="19" t="s">
        <v>47</v>
      </c>
      <c r="M5" s="19" t="s">
        <v>48</v>
      </c>
      <c r="N5" s="22" t="str">
        <f>HYPERLINK("https://drive.google.com/open?id=1EpMKq9Ke1_6c-84yGnmQ22aTCw5dqamS","cv")</f>
        <v>cv</v>
      </c>
      <c r="O5" s="22" t="str">
        <f>HYPERLINK("https://drive.google.com/open?id=1E-txQ02lthtaQJ-4iBQWMEsYm5qrodDk","application")</f>
        <v>application</v>
      </c>
      <c r="P5" s="19">
        <v>4.5</v>
      </c>
      <c r="Q5" s="19">
        <v>4.0</v>
      </c>
      <c r="R5" s="19">
        <v>4.0</v>
      </c>
      <c r="S5" s="20"/>
      <c r="T5" s="19">
        <v>3.5</v>
      </c>
      <c r="U5" s="19">
        <v>4.0</v>
      </c>
      <c r="V5" s="19">
        <v>3.0</v>
      </c>
      <c r="W5" s="20"/>
      <c r="X5" s="19">
        <v>5.0</v>
      </c>
      <c r="Y5" s="19">
        <v>5.0</v>
      </c>
      <c r="Z5" s="19">
        <v>5.0</v>
      </c>
      <c r="AA5" s="20"/>
      <c r="AB5" s="19" t="s">
        <v>49</v>
      </c>
      <c r="AC5" s="19"/>
      <c r="AD5" s="19">
        <v>5.0</v>
      </c>
      <c r="AE5" s="20"/>
      <c r="AF5" s="19" t="s">
        <v>50</v>
      </c>
      <c r="AG5" s="19" t="s">
        <v>51</v>
      </c>
      <c r="AH5" s="19" t="s">
        <v>52</v>
      </c>
      <c r="AI5" s="19" t="s">
        <v>52</v>
      </c>
    </row>
    <row r="6">
      <c r="A6" s="12">
        <v>4.0</v>
      </c>
      <c r="B6" s="12" t="s">
        <v>53</v>
      </c>
      <c r="C6" s="12"/>
      <c r="D6" s="14"/>
      <c r="E6" s="12" t="s">
        <v>54</v>
      </c>
      <c r="F6" s="12" t="s">
        <v>25</v>
      </c>
      <c r="G6" s="14"/>
      <c r="H6" s="12" t="s">
        <v>35</v>
      </c>
      <c r="I6" s="16">
        <v>43983.0</v>
      </c>
      <c r="J6" s="12" t="s">
        <v>55</v>
      </c>
      <c r="K6" s="12" t="s">
        <v>46</v>
      </c>
      <c r="L6" s="12" t="s">
        <v>56</v>
      </c>
      <c r="M6" s="12" t="s">
        <v>57</v>
      </c>
      <c r="N6" s="17" t="str">
        <f>HYPERLINK("https://drive.google.com/file/d/1pP3cTCh9HvDR8W_Y89-ialBzkBZFcN_S/view?usp=sharing","cv")</f>
        <v>cv</v>
      </c>
      <c r="O6" s="17" t="str">
        <f>HYPERLINK("https://drive.google.com/file/d/1EfQqLiHDMmH_oc9LXsLZ3GckOXWLlfug/view?usp=sharing","application")</f>
        <v>application</v>
      </c>
      <c r="P6" s="12"/>
      <c r="Q6" s="12">
        <v>2.0</v>
      </c>
      <c r="R6" s="12">
        <v>1.0</v>
      </c>
      <c r="S6" s="14"/>
      <c r="T6" s="12"/>
      <c r="U6" s="12">
        <v>2.0</v>
      </c>
      <c r="V6" s="12">
        <v>2.0</v>
      </c>
      <c r="W6" s="14"/>
      <c r="X6" s="12"/>
      <c r="Y6" s="12">
        <v>2.0</v>
      </c>
      <c r="Z6" s="12">
        <v>2.0</v>
      </c>
      <c r="AA6" s="14"/>
      <c r="AB6" s="12"/>
      <c r="AC6" s="12">
        <v>2.0</v>
      </c>
      <c r="AD6" s="12">
        <v>2.0</v>
      </c>
      <c r="AE6" s="14"/>
      <c r="AF6" s="12"/>
      <c r="AG6" s="23" t="s">
        <v>58</v>
      </c>
      <c r="AH6" s="12"/>
      <c r="AI6" s="14"/>
    </row>
    <row r="7">
      <c r="A7" s="19">
        <v>5.0</v>
      </c>
      <c r="B7" s="19" t="s">
        <v>59</v>
      </c>
      <c r="C7" s="19"/>
      <c r="D7" s="20"/>
      <c r="E7" s="19" t="s">
        <v>60</v>
      </c>
      <c r="F7" s="19" t="s">
        <v>61</v>
      </c>
      <c r="G7" s="20"/>
      <c r="H7" s="19" t="s">
        <v>26</v>
      </c>
      <c r="I7" s="21">
        <v>44166.0</v>
      </c>
      <c r="J7" s="19" t="s">
        <v>62</v>
      </c>
      <c r="K7" s="19" t="s">
        <v>46</v>
      </c>
      <c r="L7" s="19" t="s">
        <v>63</v>
      </c>
      <c r="M7" s="19" t="s">
        <v>64</v>
      </c>
      <c r="N7" s="22" t="str">
        <f>HYPERLINK("https://drive.google.com/file/d/1pqxyUdVFRGF7Xl75WAeGLsLpHHfpQ5jW/view?usp=sharing","cv")</f>
        <v>cv</v>
      </c>
      <c r="O7" s="22" t="str">
        <f>HYPERLINK("https://drive.google.com/file/d/1HyELiJdJXRwhkt8RN5PXNMb8F8X7XxLu/view?usp=sharing","application")</f>
        <v>application</v>
      </c>
      <c r="P7" s="19">
        <v>4.5</v>
      </c>
      <c r="Q7" s="19">
        <v>4.0</v>
      </c>
      <c r="R7" s="19">
        <v>5.0</v>
      </c>
      <c r="S7" s="20"/>
      <c r="T7" s="19">
        <v>2.0</v>
      </c>
      <c r="U7" s="19">
        <v>4.0</v>
      </c>
      <c r="V7" s="19">
        <v>2.0</v>
      </c>
      <c r="W7" s="20"/>
      <c r="X7" s="19">
        <v>5.0</v>
      </c>
      <c r="Y7" s="19">
        <v>4.0</v>
      </c>
      <c r="Z7" s="19">
        <v>5.0</v>
      </c>
      <c r="AA7" s="20"/>
      <c r="AB7" s="19" t="s">
        <v>49</v>
      </c>
      <c r="AC7" s="19">
        <v>3.5</v>
      </c>
      <c r="AD7" s="19">
        <v>3.5</v>
      </c>
      <c r="AE7" s="20"/>
      <c r="AF7" s="19" t="s">
        <v>65</v>
      </c>
      <c r="AG7" s="19" t="s">
        <v>66</v>
      </c>
      <c r="AH7" s="19" t="s">
        <v>67</v>
      </c>
      <c r="AI7" s="20"/>
    </row>
    <row r="8">
      <c r="A8" s="12">
        <v>6.0</v>
      </c>
      <c r="B8" s="12" t="s">
        <v>68</v>
      </c>
      <c r="C8" s="12"/>
      <c r="D8" s="14"/>
      <c r="E8" s="12"/>
      <c r="F8" s="12" t="s">
        <v>69</v>
      </c>
      <c r="G8" s="14"/>
      <c r="H8" s="12" t="s">
        <v>26</v>
      </c>
      <c r="I8" s="16">
        <v>43952.0</v>
      </c>
      <c r="J8" s="12" t="s">
        <v>70</v>
      </c>
      <c r="K8" s="12" t="s">
        <v>46</v>
      </c>
      <c r="L8" s="12" t="s">
        <v>71</v>
      </c>
      <c r="M8" s="12" t="s">
        <v>72</v>
      </c>
      <c r="N8" s="17" t="str">
        <f>HYPERLINK("https://drive.google.com/file/d/1m2p-KuJN0gr5HUSV59vDhnmm4MD2Zq1H/view?usp=sharing","cv")</f>
        <v>cv</v>
      </c>
      <c r="O8" s="17" t="str">
        <f>HYPERLINK("https://drive.google.com/file/d/1PLsiNnsZ19ca4HmLesYKIevjuLDFCZn4/view?usp=sharing","application")</f>
        <v>application</v>
      </c>
      <c r="P8" s="12">
        <v>4.5</v>
      </c>
      <c r="Q8" s="12">
        <v>5.0</v>
      </c>
      <c r="R8" s="12">
        <v>5.0</v>
      </c>
      <c r="S8" s="14"/>
      <c r="T8" s="12">
        <v>4.5</v>
      </c>
      <c r="U8" s="12">
        <v>4.0</v>
      </c>
      <c r="V8" s="12">
        <v>4.0</v>
      </c>
      <c r="W8" s="14"/>
      <c r="X8" s="12">
        <v>4.5</v>
      </c>
      <c r="Y8" s="12">
        <v>5.0</v>
      </c>
      <c r="Z8" s="12">
        <v>5.0</v>
      </c>
      <c r="AA8" s="14"/>
      <c r="AB8" s="12">
        <v>4.0</v>
      </c>
      <c r="AC8" s="12">
        <v>4.0</v>
      </c>
      <c r="AD8" s="12">
        <v>5.0</v>
      </c>
      <c r="AE8" s="14"/>
      <c r="AF8" s="12"/>
      <c r="AG8" s="12" t="s">
        <v>73</v>
      </c>
      <c r="AH8" s="12"/>
      <c r="AI8" s="14"/>
    </row>
    <row r="9">
      <c r="A9" s="19">
        <v>7.0</v>
      </c>
      <c r="B9" s="19" t="s">
        <v>74</v>
      </c>
      <c r="C9" s="19"/>
      <c r="D9" s="20"/>
      <c r="E9" s="20"/>
      <c r="F9" s="19" t="s">
        <v>61</v>
      </c>
      <c r="G9" s="24"/>
      <c r="H9" s="19" t="s">
        <v>26</v>
      </c>
      <c r="I9" s="21">
        <v>44013.0</v>
      </c>
      <c r="J9" s="19" t="s">
        <v>62</v>
      </c>
      <c r="K9" s="19" t="s">
        <v>46</v>
      </c>
      <c r="L9" s="19" t="s">
        <v>63</v>
      </c>
      <c r="M9" s="19" t="s">
        <v>30</v>
      </c>
      <c r="N9" s="22" t="str">
        <f>HYPERLINK("https://drive.google.com/file/d/1odbm2SeBzvLRAfAJ7BRNz8tThyzUF-TP/view?usp=sharing","cv")</f>
        <v>cv</v>
      </c>
      <c r="O9" s="22" t="str">
        <f>HYPERLINK("https://drive.google.com/file/d/1SpjjgemaGqTSTII4PQcmYB2T7ZScsi_q/view?usp=sharing","application")</f>
        <v>application</v>
      </c>
      <c r="P9" s="19">
        <v>4.5</v>
      </c>
      <c r="Q9" s="19">
        <v>5.0</v>
      </c>
      <c r="R9" s="19">
        <v>5.0</v>
      </c>
      <c r="S9" s="20"/>
      <c r="T9" s="19">
        <v>3.5</v>
      </c>
      <c r="U9" s="19">
        <v>4.0</v>
      </c>
      <c r="V9" s="19">
        <v>3.0</v>
      </c>
      <c r="W9" s="20"/>
      <c r="X9" s="19">
        <v>5.0</v>
      </c>
      <c r="Y9" s="19">
        <v>5.0</v>
      </c>
      <c r="Z9" s="19">
        <v>5.0</v>
      </c>
      <c r="AA9" s="20"/>
      <c r="AB9" s="19">
        <v>5.0</v>
      </c>
      <c r="AC9" s="19">
        <v>5.0</v>
      </c>
      <c r="AD9" s="19">
        <v>5.0</v>
      </c>
      <c r="AE9" s="20"/>
      <c r="AF9" s="19"/>
      <c r="AG9" s="19" t="s">
        <v>75</v>
      </c>
      <c r="AH9" s="19" t="s">
        <v>76</v>
      </c>
      <c r="AI9" s="20"/>
    </row>
    <row r="10">
      <c r="A10" s="12">
        <v>8.0</v>
      </c>
      <c r="B10" s="12"/>
      <c r="C10" s="12"/>
      <c r="D10" s="14"/>
      <c r="E10" s="14"/>
      <c r="F10" s="12"/>
      <c r="G10" s="14"/>
      <c r="H10" s="12"/>
      <c r="I10" s="16"/>
      <c r="J10" s="12"/>
      <c r="K10" s="12"/>
      <c r="L10" s="12"/>
      <c r="M10" s="12"/>
      <c r="N10" s="18"/>
      <c r="O10" s="18"/>
      <c r="P10" s="12"/>
      <c r="Q10" s="12"/>
      <c r="R10" s="12"/>
      <c r="S10" s="14"/>
      <c r="T10" s="12"/>
      <c r="U10" s="12"/>
      <c r="V10" s="12"/>
      <c r="W10" s="14"/>
      <c r="X10" s="12"/>
      <c r="Y10" s="12"/>
      <c r="Z10" s="12"/>
      <c r="AA10" s="14"/>
      <c r="AB10" s="12"/>
      <c r="AC10" s="12"/>
      <c r="AD10" s="12"/>
      <c r="AE10" s="14"/>
      <c r="AF10" s="14"/>
      <c r="AG10" s="12"/>
      <c r="AH10" s="12"/>
      <c r="AI10" s="14"/>
    </row>
    <row r="11">
      <c r="A11" s="12">
        <v>9.0</v>
      </c>
      <c r="B11" s="12"/>
      <c r="C11" s="12"/>
      <c r="D11" s="14"/>
      <c r="E11" s="14"/>
      <c r="F11" s="12"/>
      <c r="G11" s="14"/>
      <c r="H11" s="12"/>
      <c r="I11" s="12"/>
      <c r="J11" s="12"/>
      <c r="K11" s="12"/>
      <c r="L11" s="12"/>
      <c r="M11" s="12"/>
      <c r="N11" s="18"/>
      <c r="O11" s="18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>
      <c r="A12" s="12">
        <v>10.0</v>
      </c>
      <c r="B12" s="12"/>
      <c r="C12" s="12"/>
      <c r="D12" s="14"/>
      <c r="E12" s="14"/>
      <c r="F12" s="12"/>
      <c r="G12" s="14"/>
      <c r="H12" s="12"/>
      <c r="I12" s="16"/>
      <c r="J12" s="12"/>
      <c r="K12" s="12"/>
      <c r="L12" s="12"/>
      <c r="M12" s="12"/>
      <c r="N12" s="18"/>
      <c r="O12" s="18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>
      <c r="A13" s="12">
        <v>11.0</v>
      </c>
      <c r="B13" s="12"/>
      <c r="C13" s="12"/>
      <c r="D13" s="14"/>
      <c r="E13" s="14"/>
      <c r="F13" s="12"/>
      <c r="G13" s="14"/>
      <c r="H13" s="12"/>
      <c r="I13" s="16"/>
      <c r="J13" s="12"/>
      <c r="K13" s="12"/>
      <c r="L13" s="12"/>
      <c r="M13" s="12"/>
      <c r="N13" s="18"/>
      <c r="O13" s="18"/>
      <c r="P13" s="12"/>
      <c r="Q13" s="12"/>
      <c r="R13" s="12"/>
      <c r="S13" s="14"/>
      <c r="T13" s="12"/>
      <c r="U13" s="12"/>
      <c r="V13" s="12"/>
      <c r="W13" s="14"/>
      <c r="X13" s="12"/>
      <c r="Y13" s="12"/>
      <c r="Z13" s="12"/>
      <c r="AA13" s="14"/>
      <c r="AB13" s="12"/>
      <c r="AC13" s="12"/>
      <c r="AD13" s="12"/>
      <c r="AE13" s="14"/>
      <c r="AF13" s="12"/>
      <c r="AG13" s="12"/>
      <c r="AH13" s="12"/>
      <c r="AI13" s="14"/>
    </row>
    <row r="14">
      <c r="A14" s="12">
        <v>12.0</v>
      </c>
      <c r="B14" s="12"/>
      <c r="C14" s="12"/>
      <c r="D14" s="14"/>
      <c r="E14" s="14"/>
      <c r="F14" s="12"/>
      <c r="G14" s="14"/>
      <c r="H14" s="12"/>
      <c r="I14" s="16"/>
      <c r="J14" s="12"/>
      <c r="K14" s="12"/>
      <c r="L14" s="12"/>
      <c r="M14" s="12"/>
      <c r="N14" s="18"/>
      <c r="O14" s="18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>
      <c r="A15" s="12">
        <v>13.0</v>
      </c>
      <c r="B15" s="12"/>
      <c r="C15" s="12"/>
      <c r="D15" s="14"/>
      <c r="E15" s="14"/>
      <c r="F15" s="12"/>
      <c r="G15" s="14"/>
      <c r="H15" s="12"/>
      <c r="I15" s="16"/>
      <c r="J15" s="12"/>
      <c r="K15" s="12"/>
      <c r="L15" s="12"/>
      <c r="M15" s="12"/>
      <c r="N15" s="18"/>
      <c r="O15" s="18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>
      <c r="A16" s="12">
        <v>14.0</v>
      </c>
      <c r="B16" s="12"/>
      <c r="C16" s="12"/>
      <c r="D16" s="14"/>
      <c r="E16" s="12"/>
      <c r="F16" s="12"/>
      <c r="G16" s="14"/>
      <c r="H16" s="12"/>
      <c r="I16" s="16"/>
      <c r="J16" s="12"/>
      <c r="K16" s="12"/>
      <c r="L16" s="12"/>
      <c r="M16" s="12"/>
      <c r="N16" s="18"/>
      <c r="O16" s="18"/>
      <c r="P16" s="12"/>
      <c r="Q16" s="12"/>
      <c r="R16" s="12"/>
      <c r="S16" s="14"/>
      <c r="T16" s="12"/>
      <c r="U16" s="12"/>
      <c r="V16" s="12"/>
      <c r="W16" s="14"/>
      <c r="X16" s="12"/>
      <c r="Y16" s="12"/>
      <c r="Z16" s="12"/>
      <c r="AA16" s="14"/>
      <c r="AB16" s="12"/>
      <c r="AC16" s="12"/>
      <c r="AD16" s="12"/>
      <c r="AE16" s="14"/>
      <c r="AF16" s="12"/>
      <c r="AG16" s="12"/>
      <c r="AH16" s="14"/>
      <c r="AI16" s="14"/>
    </row>
    <row r="17">
      <c r="A17" s="12">
        <v>15.0</v>
      </c>
      <c r="B17" s="12"/>
      <c r="C17" s="12"/>
      <c r="D17" s="14"/>
      <c r="E17" s="14"/>
      <c r="F17" s="12"/>
      <c r="G17" s="14"/>
      <c r="H17" s="12"/>
      <c r="I17" s="16"/>
      <c r="J17" s="12"/>
      <c r="K17" s="12"/>
      <c r="L17" s="12"/>
      <c r="M17" s="12"/>
      <c r="N17" s="18"/>
      <c r="O17" s="18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>
      <c r="A18" s="12">
        <v>16.0</v>
      </c>
      <c r="B18" s="25"/>
      <c r="C18" s="12"/>
      <c r="D18" s="14"/>
      <c r="E18" s="14"/>
      <c r="F18" s="12"/>
      <c r="G18" s="26"/>
      <c r="H18" s="12"/>
      <c r="I18" s="16"/>
      <c r="J18" s="12"/>
      <c r="K18" s="12"/>
      <c r="L18" s="12"/>
      <c r="M18" s="12"/>
      <c r="N18" s="18"/>
      <c r="O18" s="18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>
      <c r="A19" s="12">
        <v>17.0</v>
      </c>
      <c r="B19" s="25"/>
      <c r="C19" s="12"/>
      <c r="D19" s="14"/>
      <c r="E19" s="14"/>
      <c r="F19" s="12"/>
      <c r="G19" s="14"/>
      <c r="H19" s="12"/>
      <c r="I19" s="16"/>
      <c r="J19" s="12"/>
      <c r="K19" s="12"/>
      <c r="L19" s="12"/>
      <c r="M19" s="12"/>
      <c r="N19" s="18"/>
      <c r="O19" s="18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>
      <c r="A20" s="12">
        <v>18.0</v>
      </c>
      <c r="B20" s="12"/>
      <c r="C20" s="12"/>
      <c r="D20" s="14"/>
      <c r="E20" s="14"/>
      <c r="F20" s="12"/>
      <c r="G20" s="14"/>
      <c r="H20" s="12"/>
      <c r="I20" s="16"/>
      <c r="J20" s="12"/>
      <c r="K20" s="12"/>
      <c r="L20" s="12"/>
      <c r="M20" s="12"/>
      <c r="N20" s="18"/>
      <c r="O20" s="18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>
      <c r="A21" s="12">
        <v>19.0</v>
      </c>
      <c r="B21" s="12"/>
      <c r="C21" s="12"/>
      <c r="D21" s="14"/>
      <c r="E21" s="12"/>
      <c r="F21" s="12"/>
      <c r="G21" s="14"/>
      <c r="H21" s="12"/>
      <c r="I21" s="16"/>
      <c r="J21" s="12"/>
      <c r="K21" s="12"/>
      <c r="L21" s="12"/>
      <c r="M21" s="12"/>
      <c r="N21" s="18"/>
      <c r="O21" s="18"/>
      <c r="P21" s="12"/>
      <c r="Q21" s="12"/>
      <c r="R21" s="12"/>
      <c r="S21" s="14"/>
      <c r="T21" s="12"/>
      <c r="U21" s="12"/>
      <c r="V21" s="12"/>
      <c r="W21" s="14"/>
      <c r="X21" s="12"/>
      <c r="Y21" s="12"/>
      <c r="Z21" s="12"/>
      <c r="AA21" s="14"/>
      <c r="AB21" s="12"/>
      <c r="AC21" s="12"/>
      <c r="AD21" s="12"/>
      <c r="AE21" s="14"/>
      <c r="AF21" s="12"/>
      <c r="AG21" s="23"/>
      <c r="AH21" s="12"/>
      <c r="AI21" s="14"/>
    </row>
    <row r="22">
      <c r="A22" s="12">
        <v>20.0</v>
      </c>
      <c r="B22" s="12"/>
      <c r="C22" s="12"/>
      <c r="D22" s="14"/>
      <c r="E22" s="12"/>
      <c r="F22" s="14"/>
      <c r="G22" s="14"/>
      <c r="H22" s="12"/>
      <c r="I22" s="16"/>
      <c r="J22" s="12"/>
      <c r="K22" s="12"/>
      <c r="L22" s="12"/>
      <c r="M22" s="12"/>
      <c r="N22" s="18"/>
      <c r="O22" s="18"/>
      <c r="P22" s="12"/>
      <c r="Q22" s="12"/>
      <c r="R22" s="12"/>
      <c r="S22" s="14"/>
      <c r="T22" s="12"/>
      <c r="U22" s="12"/>
      <c r="V22" s="12"/>
      <c r="W22" s="14"/>
      <c r="X22" s="12"/>
      <c r="Y22" s="12"/>
      <c r="AA22" s="14"/>
      <c r="AB22" s="12"/>
      <c r="AC22" s="12"/>
      <c r="AD22" s="12"/>
      <c r="AE22" s="14"/>
      <c r="AF22" s="12"/>
      <c r="AG22" s="12"/>
      <c r="AH22" s="12"/>
      <c r="AI22" s="14"/>
    </row>
    <row r="23">
      <c r="A23" s="12">
        <v>21.0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>
      <c r="A24" s="12">
        <v>22.0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>
      <c r="A25" s="12">
        <v>23.0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>
      <c r="A26" s="12">
        <v>24.0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>
      <c r="A27" s="12">
        <v>25.0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>
      <c r="A28" s="12">
        <v>26.0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>
      <c r="A29" s="12">
        <v>27.0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>
      <c r="A30" s="12">
        <v>28.0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>
      <c r="A31" s="12">
        <v>29.0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>
      <c r="A32" s="12">
        <v>30.0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>
      <c r="A33" s="12">
        <v>31.0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>
      <c r="A34" s="12">
        <v>32.0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>
      <c r="A35" s="12">
        <v>33.0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>
      <c r="A36" s="12">
        <v>34.0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>
      <c r="A37" s="12">
        <v>35.0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>
      <c r="A38" s="12">
        <v>36.0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>
      <c r="A39" s="12">
        <v>37.0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>
      <c r="A40" s="12">
        <v>38.0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>
      <c r="A41" s="12">
        <v>39.0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>
      <c r="A42" s="12">
        <v>40.0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>
      <c r="A43" s="12">
        <v>41.0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>
      <c r="A44" s="12">
        <v>42.0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>
      <c r="A45" s="12">
        <v>43.0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>
      <c r="A46" s="12">
        <v>44.0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>
      <c r="A47" s="12">
        <v>45.0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>
      <c r="A48" s="12">
        <v>46.0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5">
    <mergeCell ref="P1:S1"/>
    <mergeCell ref="T1:W1"/>
    <mergeCell ref="X1:AA1"/>
    <mergeCell ref="AB1:AE1"/>
    <mergeCell ref="AF1:AH1"/>
  </mergeCells>
  <conditionalFormatting sqref="I3">
    <cfRule type="notContainsBlanks" dxfId="0" priority="1">
      <formula>LEN(TRIM(I3))&gt;0</formula>
    </cfRule>
  </conditionalFormatting>
  <conditionalFormatting sqref="I3">
    <cfRule type="notContainsBlanks" dxfId="0" priority="2">
      <formula>LEN(TRIM(I3))&gt;0</formula>
    </cfRule>
  </conditionalFormatting>
  <drawing r:id="rId1"/>
</worksheet>
</file>